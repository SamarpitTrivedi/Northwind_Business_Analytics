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amarpit PC\Northwind Business Analytics\"/>
    </mc:Choice>
  </mc:AlternateContent>
  <xr:revisionPtr revIDLastSave="0" documentId="13_ncr:1_{BDA79593-41C9-450D-B005-3AE80BE796BB}" xr6:coauthVersionLast="47" xr6:coauthVersionMax="47" xr10:uidLastSave="{00000000-0000-0000-0000-000000000000}"/>
  <bookViews>
    <workbookView xWindow="-108" yWindow="-108" windowWidth="23256" windowHeight="13176" tabRatio="500" firstSheet="1" activeTab="3" xr2:uid="{00000000-000D-0000-FFFF-FFFF00000000}"/>
  </bookViews>
  <sheets>
    <sheet name="README" sheetId="1" r:id="rId1"/>
    <sheet name="Revenue Scenario Model" sheetId="2" r:id="rId2"/>
    <sheet name="Customer Segmentation" sheetId="3" r:id="rId3"/>
    <sheet name="Supplier Pricing Dashboard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1" i="4" l="1"/>
  <c r="B30" i="4"/>
  <c r="B29" i="4"/>
  <c r="B28" i="4"/>
  <c r="B27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24" i="3"/>
  <c r="D24" i="3"/>
  <c r="C24" i="3"/>
  <c r="E23" i="3"/>
  <c r="D23" i="3"/>
  <c r="C23" i="3"/>
  <c r="E22" i="3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39" i="3" s="1"/>
  <c r="C13" i="3"/>
  <c r="D36" i="2"/>
  <c r="D35" i="2"/>
  <c r="D34" i="2"/>
  <c r="D33" i="2"/>
  <c r="D32" i="2"/>
  <c r="D31" i="2"/>
  <c r="D30" i="2"/>
  <c r="B28" i="2"/>
  <c r="B32" i="2" s="1"/>
  <c r="B22" i="2"/>
  <c r="B24" i="2" s="1"/>
  <c r="B20" i="2"/>
  <c r="B14" i="2"/>
  <c r="C10" i="2" s="1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B32" i="4" l="1"/>
  <c r="B33" i="2"/>
  <c r="C33" i="2" s="1"/>
  <c r="B23" i="2"/>
  <c r="C11" i="2"/>
  <c r="C6" i="2"/>
  <c r="C13" i="2"/>
  <c r="C32" i="2"/>
  <c r="B35" i="2"/>
  <c r="C8" i="2"/>
  <c r="B30" i="2"/>
  <c r="C30" i="2" s="1"/>
  <c r="C35" i="2"/>
  <c r="B36" i="3"/>
  <c r="B38" i="3"/>
  <c r="B36" i="2"/>
  <c r="C36" i="2" s="1"/>
  <c r="C36" i="3"/>
  <c r="C38" i="3"/>
  <c r="C9" i="2"/>
  <c r="B31" i="2"/>
  <c r="C31" i="2" s="1"/>
  <c r="C12" i="2"/>
  <c r="B34" i="2"/>
  <c r="C34" i="2" s="1"/>
  <c r="C7" i="2"/>
  <c r="B37" i="3"/>
  <c r="B39" i="3"/>
  <c r="D39" i="3" s="1"/>
  <c r="C37" i="3"/>
  <c r="E37" i="3" l="1"/>
  <c r="D37" i="3"/>
  <c r="E38" i="3"/>
  <c r="D38" i="3"/>
  <c r="E36" i="3"/>
  <c r="D36" i="3"/>
  <c r="E39" i="3"/>
</calcChain>
</file>

<file path=xl/sharedStrings.xml><?xml version="1.0" encoding="utf-8"?>
<sst xmlns="http://schemas.openxmlformats.org/spreadsheetml/2006/main" count="148" uniqueCount="129">
  <si>
    <t>NORTHWIND SALES ANALYSIS — EXCEL PORTFOLIO WORKBOOK</t>
  </si>
  <si>
    <t>PROJECT OVERVIEW</t>
  </si>
  <si>
    <t>This workbook demonstrates Excel analytical skills layered on top of SQL (Northwind database analysis).</t>
  </si>
  <si>
    <t>It is part of a portfolio project that includes 14 SQL queries and a Power BI dashboard.</t>
  </si>
  <si>
    <t>SHEETS IN THIS WORKBOOK</t>
  </si>
  <si>
    <t>1. Revenue Scenario Model   — Goal Seek + What-If discount analysis on category revenue</t>
  </si>
  <si>
    <t>2. Customer Segmentation    — SUMIF/COUNTIF/RANK to segment customers into Platinum/Gold/Silver/Bronze</t>
  </si>
  <si>
    <t>3. Supplier Pricing Dashboard — Conditional pricing flags by country with dynamic threshold control</t>
  </si>
  <si>
    <t>EXCEL SKILLS DEMONSTRATED</t>
  </si>
  <si>
    <t>• Goal Seek (Data → What-If Analysis → Goal Seek) — Sheet 1, Section B</t>
  </si>
  <si>
    <t>• Data Tables / Scenario Analysis — Sheet 1, Section C</t>
  </si>
  <si>
    <t>• SUMIF, COUNTIF, RANK, IFERROR formulas — Sheet 2</t>
  </si>
  <si>
    <t>• Dynamic threshold with IF flags + conditional logic — Sheet 3</t>
  </si>
  <si>
    <t>• Professional formatting: color coding, borders, merged cells</t>
  </si>
  <si>
    <t>• Blue text = hardcoded inputs | Black text = formulas (industry standard)</t>
  </si>
  <si>
    <t>SQL QUERIES USED</t>
  </si>
  <si>
    <t>Q4  — Category + Product revenue (basis for Sheet 1)</t>
  </si>
  <si>
    <t>Q3  — Customer + Category + Total Spend (basis for Sheet 2)</t>
  </si>
  <si>
    <t>Q12 — Supplier country distribution + avg price (basis for Sheet 3)</t>
  </si>
  <si>
    <t>AUTHOR</t>
  </si>
  <si>
    <t>Samarpit | BCA Graduate | Targeting Data Analyst / Data Scientist roles</t>
  </si>
  <si>
    <t>Stack: Python (pandas, NumPy, matplotlib) | SQL | Power BI | Excel</t>
  </si>
  <si>
    <t>Northwind Sales — Revenue Scenario Model</t>
  </si>
  <si>
    <t>Source: SQL Query Q4 · Northwind Database</t>
  </si>
  <si>
    <t>SECTION A — Category Revenue Summary</t>
  </si>
  <si>
    <t>Category</t>
  </si>
  <si>
    <t>Total Revenue ($)</t>
  </si>
  <si>
    <t>% of Total</t>
  </si>
  <si>
    <t>Rank</t>
  </si>
  <si>
    <t>Revenue Band</t>
  </si>
  <si>
    <t>Beverages</t>
  </si>
  <si>
    <t>Condiments</t>
  </si>
  <si>
    <t>Confections</t>
  </si>
  <si>
    <t>Dairy Products</t>
  </si>
  <si>
    <t>Grains/Cereals</t>
  </si>
  <si>
    <t>Meat/Poultry</t>
  </si>
  <si>
    <t>Produce</t>
  </si>
  <si>
    <t>Seafood</t>
  </si>
  <si>
    <t>TOTAL</t>
  </si>
  <si>
    <t>SECTION B — Goal Seek Scenario: Beverages Top Product</t>
  </si>
  <si>
    <t>Parameter</t>
  </si>
  <si>
    <t>Value</t>
  </si>
  <si>
    <t>Notes</t>
  </si>
  <si>
    <t>Unit Price ($)</t>
  </si>
  <si>
    <t>Assumption (Source: Q4 SQL)</t>
  </si>
  <si>
    <t>Current Quantity</t>
  </si>
  <si>
    <t>Assumption (back-calculated)</t>
  </si>
  <si>
    <t>Current Revenue ($)</t>
  </si>
  <si>
    <t>Formula: Price × Qty</t>
  </si>
  <si>
    <t>Target Revenue ($)</t>
  </si>
  <si>
    <t>Goal Seek target</t>
  </si>
  <si>
    <t>Required Quantity</t>
  </si>
  <si>
    <t>Formula: Target ÷ Price</t>
  </si>
  <si>
    <t>Qty Increase Needed</t>
  </si>
  <si>
    <t>Formula</t>
  </si>
  <si>
    <t>% Change Required</t>
  </si>
  <si>
    <t>SECTION C — What-If: Discount Impact on Beverages Revenue</t>
  </si>
  <si>
    <t>Base Revenue ($)</t>
  </si>
  <si>
    <t>Discount %</t>
  </si>
  <si>
    <t>Revenue After Discount ($)</t>
  </si>
  <si>
    <t>Revenue Lost ($)</t>
  </si>
  <si>
    <t>Impact</t>
  </si>
  <si>
    <t>Northwind Sales — Customer Segmentation by Spend</t>
  </si>
  <si>
    <t>Source: SQL Query Q3 · CustomerID + Category + Total Spend + Order Count</t>
  </si>
  <si>
    <t>SEGMENT DEFINITIONS</t>
  </si>
  <si>
    <t>Segment</t>
  </si>
  <si>
    <t>Criteria</t>
  </si>
  <si>
    <t>Platinum</t>
  </si>
  <si>
    <t>&gt; $20,000 total spend</t>
  </si>
  <si>
    <t>Gold</t>
  </si>
  <si>
    <t>$10,000 – $20,000</t>
  </si>
  <si>
    <t>Silver</t>
  </si>
  <si>
    <t>$5,000 – $10,000</t>
  </si>
  <si>
    <t>Bronze</t>
  </si>
  <si>
    <t>&lt; $5,000</t>
  </si>
  <si>
    <t>TOP 20 CUSTOMERS — Aggregated Spend &amp; Segment</t>
  </si>
  <si>
    <t>Customer ID</t>
  </si>
  <si>
    <t>Total Spend ($)</t>
  </si>
  <si>
    <t>Spend Band</t>
  </si>
  <si>
    <t>QUICK</t>
  </si>
  <si>
    <t>High-value repeat customer</t>
  </si>
  <si>
    <t>ERNSH</t>
  </si>
  <si>
    <t>SAVEA</t>
  </si>
  <si>
    <t>RATTC</t>
  </si>
  <si>
    <t>HUNGO</t>
  </si>
  <si>
    <t>KOENE</t>
  </si>
  <si>
    <t>FOLKO</t>
  </si>
  <si>
    <t>FRANK</t>
  </si>
  <si>
    <t>BERGS</t>
  </si>
  <si>
    <t>ANTON</t>
  </si>
  <si>
    <t>ALFKI</t>
  </si>
  <si>
    <t>ANATR</t>
  </si>
  <si>
    <t>SEGMENT SUMMARY (from Top 20 above)</t>
  </si>
  <si>
    <t>Count of Customers</t>
  </si>
  <si>
    <t>Avg Spend ($)</t>
  </si>
  <si>
    <t>Northwind Sales — Supplier Country Pricing Analysis</t>
  </si>
  <si>
    <t>Source: SQL Query Q12 · Supplier Country Distribution &amp; Avg Unit Price</t>
  </si>
  <si>
    <t>PRICE THRESHOLD CONTROL (change B5 to update highlights)</t>
  </si>
  <si>
    <t>Price Alert Threshold ($)</t>
  </si>
  <si>
    <t>← Change this value</t>
  </si>
  <si>
    <t>SUPPLIER COUNTRY DATA — WITH PRICING FLAGS</t>
  </si>
  <si>
    <t>Country</t>
  </si>
  <si>
    <t>Supplier Count</t>
  </si>
  <si>
    <t>Avg Unit Price ($)</t>
  </si>
  <si>
    <t>vs Threshold</t>
  </si>
  <si>
    <t>Pricing Flag</t>
  </si>
  <si>
    <t>USA</t>
  </si>
  <si>
    <t>Germany</t>
  </si>
  <si>
    <t>Australia</t>
  </si>
  <si>
    <t>UK</t>
  </si>
  <si>
    <t>Japan</t>
  </si>
  <si>
    <t>Italy</t>
  </si>
  <si>
    <t>France</t>
  </si>
  <si>
    <t>Canada</t>
  </si>
  <si>
    <t>Norway</t>
  </si>
  <si>
    <t>Sweden</t>
  </si>
  <si>
    <t>Singapore</t>
  </si>
  <si>
    <t>Finland</t>
  </si>
  <si>
    <t>Spain</t>
  </si>
  <si>
    <t>Denmark</t>
  </si>
  <si>
    <t>Netherlands</t>
  </si>
  <si>
    <t>Brazil</t>
  </si>
  <si>
    <t>SUMMARY STATISTICS</t>
  </si>
  <si>
    <t>Total Countries</t>
  </si>
  <si>
    <t>Total Suppliers</t>
  </si>
  <si>
    <t>Avg Price — All ($)</t>
  </si>
  <si>
    <t>Max Avg Price ($)</t>
  </si>
  <si>
    <t>Min Avg Price ($)</t>
  </si>
  <si>
    <t>Countries Above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</si>
</sst>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0.0%"/>
    <numFmt numFmtId="166" formatCode="\+#,##0;\-#,##0"/>
    <numFmt numFmtId="167" formatCode="&quot;+$&quot;#,##0.00;&quot;-$&quot;#,##0.00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3"/>
      <color rgb="FFFFFFFF"/>
      <name val="Arial"/>
      <charset val="1"/>
    </font>
    <font>
      <sz val="9"/>
      <color rgb="FFAAAAAA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0"/>
      <color rgb="FF000000"/>
      <name val="Arial"/>
      <charset val="1"/>
    </font>
    <font>
      <i/>
      <sz val="9"/>
      <color rgb="FF666666"/>
      <name val="Arial"/>
      <charset val="1"/>
    </font>
    <font>
      <b/>
      <sz val="10"/>
      <color rgb="FF0000FF"/>
      <name val="Arial"/>
      <charset val="1"/>
    </font>
    <font>
      <i/>
      <sz val="9"/>
      <color rgb="FFCC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8F4FD"/>
      </patternFill>
    </fill>
    <fill>
      <patternFill patternType="solid">
        <fgColor rgb="FFFFFFFF"/>
        <bgColor rgb="FFF2F2F2"/>
      </patternFill>
    </fill>
    <fill>
      <patternFill patternType="solid">
        <fgColor rgb="FFF4B942"/>
        <bgColor rgb="FFFFCC99"/>
      </patternFill>
    </fill>
    <fill>
      <patternFill patternType="solid">
        <fgColor rgb="FFF2F2F2"/>
        <bgColor rgb="FFE8F4FD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FCC99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9" fillId="8" borderId="1" xfId="0" applyFont="1" applyFill="1" applyBorder="1" applyAlignment="1">
      <alignment horizontal="center"/>
    </xf>
    <xf numFmtId="0" fontId="2" fillId="6" borderId="1" xfId="0" applyFont="1" applyFill="1" applyBorder="1"/>
    <xf numFmtId="0" fontId="9" fillId="6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11" fillId="7" borderId="1" xfId="0" applyFont="1" applyFill="1" applyBorder="1"/>
    <xf numFmtId="0" fontId="11" fillId="5" borderId="1" xfId="0" applyFont="1" applyFill="1" applyBorder="1"/>
    <xf numFmtId="0" fontId="10" fillId="4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164" fontId="8" fillId="4" borderId="1" xfId="0" applyNumberFormat="1" applyFont="1" applyFill="1" applyBorder="1" applyAlignment="1">
      <alignment horizontal="right"/>
    </xf>
    <xf numFmtId="165" fontId="2" fillId="4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 vertical="center"/>
    </xf>
    <xf numFmtId="164" fontId="8" fillId="5" borderId="1" xfId="0" applyNumberFormat="1" applyFont="1" applyFill="1" applyBorder="1" applyAlignment="1">
      <alignment horizontal="right"/>
    </xf>
    <xf numFmtId="165" fontId="2" fillId="5" borderId="1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6" borderId="1" xfId="0" applyFont="1" applyFill="1" applyBorder="1"/>
    <xf numFmtId="164" fontId="9" fillId="6" borderId="1" xfId="0" applyNumberFormat="1" applyFont="1" applyFill="1" applyBorder="1" applyAlignment="1">
      <alignment horizontal="right"/>
    </xf>
    <xf numFmtId="0" fontId="0" fillId="6" borderId="1" xfId="0" applyFill="1" applyBorder="1"/>
    <xf numFmtId="0" fontId="10" fillId="4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11" fillId="5" borderId="1" xfId="0" applyFont="1" applyFill="1" applyBorder="1"/>
    <xf numFmtId="0" fontId="2" fillId="7" borderId="1" xfId="0" applyFont="1" applyFill="1" applyBorder="1"/>
    <xf numFmtId="3" fontId="8" fillId="7" borderId="1" xfId="0" applyNumberFormat="1" applyFont="1" applyFill="1" applyBorder="1" applyAlignment="1">
      <alignment horizontal="right"/>
    </xf>
    <xf numFmtId="164" fontId="7" fillId="5" borderId="1" xfId="0" applyNumberFormat="1" applyFont="1" applyFill="1" applyBorder="1" applyAlignment="1">
      <alignment horizontal="right"/>
    </xf>
    <xf numFmtId="164" fontId="8" fillId="7" borderId="1" xfId="0" applyNumberFormat="1" applyFont="1" applyFill="1" applyBorder="1" applyAlignment="1">
      <alignment horizontal="right"/>
    </xf>
    <xf numFmtId="3" fontId="7" fillId="5" borderId="1" xfId="0" applyNumberFormat="1" applyFont="1" applyFill="1" applyBorder="1" applyAlignment="1">
      <alignment horizontal="right"/>
    </xf>
    <xf numFmtId="166" fontId="7" fillId="7" borderId="1" xfId="0" applyNumberFormat="1" applyFont="1" applyFill="1" applyBorder="1" applyAlignment="1">
      <alignment horizontal="right"/>
    </xf>
    <xf numFmtId="165" fontId="7" fillId="5" borderId="1" xfId="0" applyNumberFormat="1" applyFont="1" applyFill="1" applyBorder="1" applyAlignment="1">
      <alignment horizontal="right"/>
    </xf>
    <xf numFmtId="0" fontId="2" fillId="0" borderId="0" xfId="0" applyFont="1"/>
    <xf numFmtId="164" fontId="7" fillId="0" borderId="0" xfId="0" applyNumberFormat="1" applyFont="1" applyAlignment="1">
      <alignment horizontal="right"/>
    </xf>
    <xf numFmtId="9" fontId="8" fillId="4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right"/>
    </xf>
    <xf numFmtId="9" fontId="8" fillId="5" borderId="1" xfId="0" applyNumberFormat="1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righ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0" fontId="11" fillId="4" borderId="1" xfId="0" applyFont="1" applyFill="1" applyBorder="1"/>
    <xf numFmtId="0" fontId="2" fillId="5" borderId="1" xfId="0" applyFont="1" applyFill="1" applyBorder="1" applyAlignment="1">
      <alignment horizontal="right"/>
    </xf>
    <xf numFmtId="0" fontId="0" fillId="0" borderId="1" xfId="0" applyBorder="1"/>
    <xf numFmtId="0" fontId="9" fillId="4" borderId="1" xfId="0" applyFont="1" applyFill="1" applyBorder="1"/>
    <xf numFmtId="0" fontId="9" fillId="5" borderId="1" xfId="0" applyFont="1" applyFill="1" applyBorder="1"/>
    <xf numFmtId="0" fontId="9" fillId="0" borderId="1" xfId="0" applyFont="1" applyBorder="1"/>
    <xf numFmtId="164" fontId="12" fillId="0" borderId="1" xfId="0" applyNumberFormat="1" applyFont="1" applyBorder="1" applyAlignment="1">
      <alignment horizontal="right"/>
    </xf>
    <xf numFmtId="0" fontId="13" fillId="0" borderId="1" xfId="0" applyFont="1" applyBorder="1"/>
    <xf numFmtId="0" fontId="8" fillId="4" borderId="1" xfId="0" applyFont="1" applyFill="1" applyBorder="1" applyAlignment="1">
      <alignment horizontal="center"/>
    </xf>
    <xf numFmtId="167" fontId="2" fillId="4" borderId="1" xfId="0" applyNumberFormat="1" applyFont="1" applyFill="1" applyBorder="1" applyAlignment="1">
      <alignment horizontal="right"/>
    </xf>
    <xf numFmtId="0" fontId="8" fillId="5" borderId="1" xfId="0" applyFont="1" applyFill="1" applyBorder="1" applyAlignment="1">
      <alignment horizontal="center"/>
    </xf>
    <xf numFmtId="167" fontId="2" fillId="5" borderId="1" xfId="0" applyNumberFormat="1" applyFont="1" applyFill="1" applyBorder="1" applyAlignment="1">
      <alignment horizontal="right"/>
    </xf>
    <xf numFmtId="0" fontId="2" fillId="8" borderId="1" xfId="0" applyFont="1" applyFill="1" applyBorder="1"/>
    <xf numFmtId="0" fontId="9" fillId="9" borderId="1" xfId="0" applyFont="1" applyFill="1" applyBorder="1" applyAlignment="1">
      <alignment horizontal="center"/>
    </xf>
    <xf numFmtId="0" fontId="2" fillId="9" borderId="1" xfId="0" applyFont="1" applyFill="1" applyBorder="1"/>
    <xf numFmtId="0" fontId="2" fillId="4" borderId="1" xfId="0" applyFont="1" applyFill="1" applyBorder="1"/>
    <xf numFmtId="0" fontId="9" fillId="4" borderId="1" xfId="0" applyFont="1" applyFill="1" applyBorder="1" applyAlignment="1">
      <alignment horizontal="right"/>
    </xf>
    <xf numFmtId="0" fontId="9" fillId="5" borderId="1" xfId="0" applyFont="1" applyFill="1" applyBorder="1" applyAlignment="1">
      <alignment horizontal="right"/>
    </xf>
    <xf numFmtId="164" fontId="9" fillId="4" borderId="1" xfId="0" applyNumberFormat="1" applyFont="1" applyFill="1" applyBorder="1" applyAlignment="1">
      <alignment horizontal="right"/>
    </xf>
    <xf numFmtId="164" fontId="9" fillId="5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2F2"/>
      <rgbColor rgb="FFE8F4FD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2E75B6"/>
      <rgbColor rgb="FF33CCCC"/>
      <rgbColor rgb="FF99CC00"/>
      <rgbColor rgb="FFF4B942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showGridLines="0" topLeftCell="A7" zoomScaleNormal="100" workbookViewId="0"/>
  </sheetViews>
  <sheetFormatPr defaultColWidth="8.6640625" defaultRowHeight="14.4" x14ac:dyDescent="0.3"/>
  <cols>
    <col min="1" max="1" width="90" customWidth="1"/>
  </cols>
  <sheetData>
    <row r="1" spans="1:1" ht="36" customHeight="1" x14ac:dyDescent="0.3">
      <c r="A1" s="13" t="s">
        <v>0</v>
      </c>
    </row>
    <row r="2" spans="1:1" ht="15.75" customHeight="1" x14ac:dyDescent="0.3">
      <c r="A2" s="14"/>
    </row>
    <row r="3" spans="1:1" ht="21.75" customHeight="1" x14ac:dyDescent="0.3">
      <c r="A3" s="15" t="s">
        <v>1</v>
      </c>
    </row>
    <row r="4" spans="1:1" ht="15.75" customHeight="1" x14ac:dyDescent="0.3">
      <c r="A4" s="14" t="s">
        <v>2</v>
      </c>
    </row>
    <row r="5" spans="1:1" ht="15.75" customHeight="1" x14ac:dyDescent="0.3">
      <c r="A5" s="14" t="s">
        <v>3</v>
      </c>
    </row>
    <row r="6" spans="1:1" ht="15.75" customHeight="1" x14ac:dyDescent="0.3">
      <c r="A6" s="14"/>
    </row>
    <row r="7" spans="1:1" ht="21.75" customHeight="1" x14ac:dyDescent="0.3">
      <c r="A7" s="15" t="s">
        <v>4</v>
      </c>
    </row>
    <row r="8" spans="1:1" ht="15.75" customHeight="1" x14ac:dyDescent="0.3">
      <c r="A8" s="14" t="s">
        <v>5</v>
      </c>
    </row>
    <row r="9" spans="1:1" ht="15.75" customHeight="1" x14ac:dyDescent="0.3">
      <c r="A9" s="14" t="s">
        <v>6</v>
      </c>
    </row>
    <row r="10" spans="1:1" ht="15.75" customHeight="1" x14ac:dyDescent="0.3">
      <c r="A10" s="14" t="s">
        <v>7</v>
      </c>
    </row>
    <row r="11" spans="1:1" ht="15.75" customHeight="1" x14ac:dyDescent="0.3">
      <c r="A11" s="14"/>
    </row>
    <row r="12" spans="1:1" ht="21.75" customHeight="1" x14ac:dyDescent="0.3">
      <c r="A12" s="15" t="s">
        <v>8</v>
      </c>
    </row>
    <row r="13" spans="1:1" ht="15.75" customHeight="1" x14ac:dyDescent="0.3">
      <c r="A13" s="14" t="s">
        <v>9</v>
      </c>
    </row>
    <row r="14" spans="1:1" ht="15.75" customHeight="1" x14ac:dyDescent="0.3">
      <c r="A14" s="14" t="s">
        <v>10</v>
      </c>
    </row>
    <row r="15" spans="1:1" ht="15.75" customHeight="1" x14ac:dyDescent="0.3">
      <c r="A15" s="14" t="s">
        <v>11</v>
      </c>
    </row>
    <row r="16" spans="1:1" ht="15.75" customHeight="1" x14ac:dyDescent="0.3">
      <c r="A16" s="14" t="s">
        <v>12</v>
      </c>
    </row>
    <row r="17" spans="1:1" ht="15.75" customHeight="1" x14ac:dyDescent="0.3">
      <c r="A17" s="14" t="s">
        <v>13</v>
      </c>
    </row>
    <row r="18" spans="1:1" ht="15.75" customHeight="1" x14ac:dyDescent="0.3">
      <c r="A18" s="14" t="s">
        <v>14</v>
      </c>
    </row>
    <row r="19" spans="1:1" ht="15.75" customHeight="1" x14ac:dyDescent="0.3">
      <c r="A19" s="14"/>
    </row>
    <row r="20" spans="1:1" ht="21.75" customHeight="1" x14ac:dyDescent="0.3">
      <c r="A20" s="15" t="s">
        <v>15</v>
      </c>
    </row>
    <row r="21" spans="1:1" ht="15.75" customHeight="1" x14ac:dyDescent="0.3">
      <c r="A21" s="14" t="s">
        <v>16</v>
      </c>
    </row>
    <row r="22" spans="1:1" ht="15.75" customHeight="1" x14ac:dyDescent="0.3">
      <c r="A22" s="14" t="s">
        <v>17</v>
      </c>
    </row>
    <row r="23" spans="1:1" ht="15.75" customHeight="1" x14ac:dyDescent="0.3">
      <c r="A23" s="14" t="s">
        <v>18</v>
      </c>
    </row>
    <row r="24" spans="1:1" ht="15.75" customHeight="1" x14ac:dyDescent="0.3">
      <c r="A24" s="14"/>
    </row>
    <row r="25" spans="1:1" ht="21.75" customHeight="1" x14ac:dyDescent="0.3">
      <c r="A25" s="15" t="s">
        <v>19</v>
      </c>
    </row>
    <row r="26" spans="1:1" ht="15.75" customHeight="1" x14ac:dyDescent="0.3">
      <c r="A26" s="14" t="s">
        <v>20</v>
      </c>
    </row>
    <row r="27" spans="1:1" ht="15.75" customHeight="1" x14ac:dyDescent="0.3">
      <c r="A27" s="14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showGridLines="0" zoomScaleNormal="100" workbookViewId="0">
      <selection activeCell="B36" sqref="B36"/>
    </sheetView>
  </sheetViews>
  <sheetFormatPr defaultColWidth="8.6640625" defaultRowHeight="14.4" x14ac:dyDescent="0.3"/>
  <cols>
    <col min="1" max="1" width="28" customWidth="1"/>
    <col min="2" max="2" width="24.88671875" bestFit="1" customWidth="1"/>
    <col min="3" max="3" width="18" customWidth="1"/>
    <col min="4" max="4" width="22" customWidth="1"/>
    <col min="5" max="5" width="20" customWidth="1"/>
  </cols>
  <sheetData>
    <row r="1" spans="1:5" ht="31.5" customHeight="1" x14ac:dyDescent="0.3">
      <c r="A1" s="12" t="s">
        <v>22</v>
      </c>
      <c r="B1" s="12"/>
      <c r="C1" s="12"/>
      <c r="D1" s="12"/>
      <c r="E1" s="12"/>
    </row>
    <row r="2" spans="1:5" ht="18" customHeight="1" x14ac:dyDescent="0.3">
      <c r="A2" s="11" t="s">
        <v>23</v>
      </c>
      <c r="B2" s="11"/>
      <c r="C2" s="11"/>
      <c r="D2" s="11"/>
      <c r="E2" s="11"/>
    </row>
    <row r="4" spans="1:5" ht="21.75" customHeight="1" x14ac:dyDescent="0.3">
      <c r="A4" s="10" t="s">
        <v>24</v>
      </c>
      <c r="B4" s="10"/>
      <c r="C4" s="10"/>
      <c r="D4" s="10"/>
      <c r="E4" s="10"/>
    </row>
    <row r="5" spans="1:5" ht="19.5" customHeight="1" x14ac:dyDescent="0.3">
      <c r="A5" s="16" t="s">
        <v>25</v>
      </c>
      <c r="B5" s="16" t="s">
        <v>26</v>
      </c>
      <c r="C5" s="16" t="s">
        <v>27</v>
      </c>
      <c r="D5" s="16" t="s">
        <v>28</v>
      </c>
      <c r="E5" s="16" t="s">
        <v>29</v>
      </c>
    </row>
    <row r="6" spans="1:5" x14ac:dyDescent="0.3">
      <c r="A6" s="17" t="s">
        <v>30</v>
      </c>
      <c r="B6" s="18">
        <v>267868.18</v>
      </c>
      <c r="C6" s="19">
        <f>B6/B14</f>
        <v>0.21162083327918413</v>
      </c>
      <c r="D6" s="20">
        <f>RANK(B6,B6:B13,0)</f>
        <v>1</v>
      </c>
      <c r="E6" s="21" t="str">
        <f t="shared" ref="E6:E13" si="0">IF(B6&gt;200000,"High",IF(B6&gt;150000,"Medium","Low"))</f>
        <v>High</v>
      </c>
    </row>
    <row r="7" spans="1:5" x14ac:dyDescent="0.3">
      <c r="A7" s="22" t="s">
        <v>31</v>
      </c>
      <c r="B7" s="23">
        <v>106047.09</v>
      </c>
      <c r="C7" s="24">
        <f>B7/B14</f>
        <v>8.3779169114572075E-2</v>
      </c>
      <c r="D7" s="25">
        <f>RANK(B7,B6:B13,0)</f>
        <v>6</v>
      </c>
      <c r="E7" s="26" t="str">
        <f t="shared" si="0"/>
        <v>Low</v>
      </c>
    </row>
    <row r="8" spans="1:5" x14ac:dyDescent="0.3">
      <c r="A8" s="17" t="s">
        <v>32</v>
      </c>
      <c r="B8" s="18">
        <v>167357.23000000001</v>
      </c>
      <c r="C8" s="19">
        <f>B8/B14</f>
        <v>0.13221531750391582</v>
      </c>
      <c r="D8" s="20">
        <f>RANK(B8,B6:B13,0)</f>
        <v>3</v>
      </c>
      <c r="E8" s="21" t="str">
        <f t="shared" si="0"/>
        <v>Medium</v>
      </c>
    </row>
    <row r="9" spans="1:5" x14ac:dyDescent="0.3">
      <c r="A9" s="22" t="s">
        <v>33</v>
      </c>
      <c r="B9" s="23">
        <v>234507.28</v>
      </c>
      <c r="C9" s="24">
        <f>B9/B14</f>
        <v>0.18526510316990599</v>
      </c>
      <c r="D9" s="25">
        <f>RANK(B9,B6:B13,0)</f>
        <v>2</v>
      </c>
      <c r="E9" s="26" t="str">
        <f t="shared" si="0"/>
        <v>High</v>
      </c>
    </row>
    <row r="10" spans="1:5" x14ac:dyDescent="0.3">
      <c r="A10" s="17" t="s">
        <v>34</v>
      </c>
      <c r="B10" s="18">
        <v>95744.59</v>
      </c>
      <c r="C10" s="19">
        <f>B10/B14</f>
        <v>7.5640002921488619E-2</v>
      </c>
      <c r="D10" s="20">
        <f>RANK(B10,B6:B13,0)</f>
        <v>8</v>
      </c>
      <c r="E10" s="21" t="str">
        <f t="shared" si="0"/>
        <v>Low</v>
      </c>
    </row>
    <row r="11" spans="1:5" x14ac:dyDescent="0.3">
      <c r="A11" s="22" t="s">
        <v>35</v>
      </c>
      <c r="B11" s="23">
        <v>163022.35999999999</v>
      </c>
      <c r="C11" s="24">
        <f>B11/B14</f>
        <v>0.12879068975769772</v>
      </c>
      <c r="D11" s="25">
        <f>RANK(B11,B6:B13,0)</f>
        <v>4</v>
      </c>
      <c r="E11" s="26" t="str">
        <f t="shared" si="0"/>
        <v>Medium</v>
      </c>
    </row>
    <row r="12" spans="1:5" x14ac:dyDescent="0.3">
      <c r="A12" s="17" t="s">
        <v>36</v>
      </c>
      <c r="B12" s="18">
        <v>99984.58</v>
      </c>
      <c r="C12" s="19">
        <f>B12/B14</f>
        <v>7.8989673706930205E-2</v>
      </c>
      <c r="D12" s="20">
        <f>RANK(B12,B6:B13,0)</f>
        <v>7</v>
      </c>
      <c r="E12" s="21" t="str">
        <f t="shared" si="0"/>
        <v>Low</v>
      </c>
    </row>
    <row r="13" spans="1:5" x14ac:dyDescent="0.3">
      <c r="A13" s="22" t="s">
        <v>37</v>
      </c>
      <c r="B13" s="23">
        <v>131261.74</v>
      </c>
      <c r="C13" s="24">
        <f>B13/B14</f>
        <v>0.10369921054630532</v>
      </c>
      <c r="D13" s="25">
        <f>RANK(B13,B6:B13,0)</f>
        <v>5</v>
      </c>
      <c r="E13" s="26" t="str">
        <f t="shared" si="0"/>
        <v>Low</v>
      </c>
    </row>
    <row r="14" spans="1:5" ht="19.5" customHeight="1" x14ac:dyDescent="0.3">
      <c r="A14" s="27" t="s">
        <v>38</v>
      </c>
      <c r="B14" s="28">
        <f>SUM(B6:B13)</f>
        <v>1265793.05</v>
      </c>
      <c r="C14" s="29"/>
      <c r="D14" s="29"/>
      <c r="E14" s="29"/>
    </row>
    <row r="16" spans="1:5" ht="21.75" customHeight="1" x14ac:dyDescent="0.3">
      <c r="A16" s="10" t="s">
        <v>39</v>
      </c>
      <c r="B16" s="10"/>
      <c r="C16" s="10"/>
      <c r="D16" s="10"/>
      <c r="E16" s="10"/>
    </row>
    <row r="17" spans="1:5" x14ac:dyDescent="0.3">
      <c r="A17" s="30" t="s">
        <v>40</v>
      </c>
      <c r="B17" s="30" t="s">
        <v>41</v>
      </c>
      <c r="C17" s="9" t="s">
        <v>42</v>
      </c>
      <c r="D17" s="9"/>
      <c r="E17" s="9"/>
    </row>
    <row r="18" spans="1:5" x14ac:dyDescent="0.3">
      <c r="A18" s="31" t="s">
        <v>43</v>
      </c>
      <c r="B18" s="23">
        <v>263.5</v>
      </c>
      <c r="C18" s="8" t="s">
        <v>44</v>
      </c>
      <c r="D18" s="8"/>
      <c r="E18" s="8"/>
    </row>
    <row r="19" spans="1:5" x14ac:dyDescent="0.3">
      <c r="A19" s="33" t="s">
        <v>45</v>
      </c>
      <c r="B19" s="34">
        <v>537</v>
      </c>
      <c r="C19" s="7" t="s">
        <v>46</v>
      </c>
      <c r="D19" s="7"/>
      <c r="E19" s="7"/>
    </row>
    <row r="20" spans="1:5" x14ac:dyDescent="0.3">
      <c r="A20" s="31" t="s">
        <v>47</v>
      </c>
      <c r="B20" s="35">
        <f>B18*B19</f>
        <v>141499.5</v>
      </c>
      <c r="C20" s="8" t="s">
        <v>48</v>
      </c>
      <c r="D20" s="8"/>
      <c r="E20" s="8"/>
    </row>
    <row r="21" spans="1:5" x14ac:dyDescent="0.3">
      <c r="A21" s="33" t="s">
        <v>49</v>
      </c>
      <c r="B21" s="36">
        <v>160000</v>
      </c>
      <c r="C21" s="7" t="s">
        <v>50</v>
      </c>
      <c r="D21" s="7"/>
      <c r="E21" s="7"/>
    </row>
    <row r="22" spans="1:5" x14ac:dyDescent="0.3">
      <c r="A22" s="31" t="s">
        <v>51</v>
      </c>
      <c r="B22" s="37">
        <f>B21/B18</f>
        <v>607.21062618595829</v>
      </c>
      <c r="C22" s="8" t="s">
        <v>52</v>
      </c>
      <c r="D22" s="8"/>
      <c r="E22" s="8"/>
    </row>
    <row r="23" spans="1:5" x14ac:dyDescent="0.3">
      <c r="A23" s="33" t="s">
        <v>53</v>
      </c>
      <c r="B23" s="38">
        <f>B22-B19</f>
        <v>70.21062618595829</v>
      </c>
      <c r="C23" s="7" t="s">
        <v>54</v>
      </c>
      <c r="D23" s="7"/>
      <c r="E23" s="7"/>
    </row>
    <row r="24" spans="1:5" x14ac:dyDescent="0.3">
      <c r="A24" s="31" t="s">
        <v>55</v>
      </c>
      <c r="B24" s="39">
        <f>(B22-B19)/B19</f>
        <v>0.13074604503902848</v>
      </c>
      <c r="C24" s="8" t="s">
        <v>54</v>
      </c>
      <c r="D24" s="8"/>
      <c r="E24" s="8"/>
    </row>
    <row r="27" spans="1:5" ht="15.75" customHeight="1" x14ac:dyDescent="0.3">
      <c r="A27" s="10" t="s">
        <v>56</v>
      </c>
      <c r="B27" s="10"/>
      <c r="C27" s="10"/>
      <c r="D27" s="10"/>
      <c r="E27" s="10"/>
    </row>
    <row r="28" spans="1:5" ht="15.75" customHeight="1" x14ac:dyDescent="0.3">
      <c r="A28" s="40" t="s">
        <v>57</v>
      </c>
      <c r="B28" s="41">
        <f>B6</f>
        <v>267868.18</v>
      </c>
    </row>
    <row r="29" spans="1:5" ht="15.75" customHeight="1" x14ac:dyDescent="0.3">
      <c r="A29" s="16" t="s">
        <v>58</v>
      </c>
      <c r="B29" s="16" t="s">
        <v>59</v>
      </c>
      <c r="C29" s="16" t="s">
        <v>60</v>
      </c>
      <c r="D29" s="6" t="s">
        <v>61</v>
      </c>
      <c r="E29" s="6"/>
    </row>
    <row r="30" spans="1:5" ht="15.75" customHeight="1" x14ac:dyDescent="0.3">
      <c r="A30" s="42">
        <v>0</v>
      </c>
      <c r="B30" s="43">
        <f t="shared" ref="B30:B36" si="1">$B$28*(1-A30)</f>
        <v>267868.18</v>
      </c>
      <c r="C30" s="43">
        <f t="shared" ref="C30:C36" si="2">$B$28-B30</f>
        <v>0</v>
      </c>
      <c r="D30" s="5" t="str">
        <f t="shared" ref="D30:D36" si="3">IF(A30=0,"No Discount",IF(A30&lt;=0.1,"Low Impact",IF(A30&lt;=0.2,"Medium Impact","High Impact")))</f>
        <v>No Discount</v>
      </c>
      <c r="E30" s="5"/>
    </row>
    <row r="31" spans="1:5" x14ac:dyDescent="0.3">
      <c r="A31" s="44">
        <v>0.05</v>
      </c>
      <c r="B31" s="45">
        <f t="shared" si="1"/>
        <v>254474.77099999998</v>
      </c>
      <c r="C31" s="45">
        <f t="shared" si="2"/>
        <v>13393.409000000014</v>
      </c>
      <c r="D31" s="4" t="str">
        <f t="shared" si="3"/>
        <v>Low Impact</v>
      </c>
      <c r="E31" s="4"/>
    </row>
    <row r="32" spans="1:5" ht="21.75" customHeight="1" x14ac:dyDescent="0.3">
      <c r="A32" s="42">
        <v>0.1</v>
      </c>
      <c r="B32" s="43">
        <f t="shared" si="1"/>
        <v>241081.36199999999</v>
      </c>
      <c r="C32" s="43">
        <f t="shared" si="2"/>
        <v>26786.817999999999</v>
      </c>
      <c r="D32" s="5" t="str">
        <f t="shared" si="3"/>
        <v>Low Impact</v>
      </c>
      <c r="E32" s="5"/>
    </row>
    <row r="33" spans="1:5" x14ac:dyDescent="0.3">
      <c r="A33" s="44">
        <v>0.15</v>
      </c>
      <c r="B33" s="45">
        <f t="shared" si="1"/>
        <v>227687.95299999998</v>
      </c>
      <c r="C33" s="45">
        <f t="shared" si="2"/>
        <v>40180.227000000014</v>
      </c>
      <c r="D33" s="4" t="str">
        <f t="shared" si="3"/>
        <v>Medium Impact</v>
      </c>
      <c r="E33" s="4"/>
    </row>
    <row r="34" spans="1:5" ht="19.5" customHeight="1" x14ac:dyDescent="0.3">
      <c r="A34" s="42">
        <v>0.2</v>
      </c>
      <c r="B34" s="43">
        <f t="shared" si="1"/>
        <v>214294.54399999999</v>
      </c>
      <c r="C34" s="43">
        <f t="shared" si="2"/>
        <v>53573.635999999999</v>
      </c>
      <c r="D34" s="5" t="str">
        <f t="shared" si="3"/>
        <v>Medium Impact</v>
      </c>
      <c r="E34" s="5"/>
    </row>
    <row r="35" spans="1:5" x14ac:dyDescent="0.3">
      <c r="A35" s="44">
        <v>0.25</v>
      </c>
      <c r="B35" s="45">
        <f t="shared" si="1"/>
        <v>200901.13500000001</v>
      </c>
      <c r="C35" s="45">
        <f t="shared" si="2"/>
        <v>66967.044999999984</v>
      </c>
      <c r="D35" s="4" t="str">
        <f t="shared" si="3"/>
        <v>High Impact</v>
      </c>
      <c r="E35" s="4"/>
    </row>
    <row r="36" spans="1:5" x14ac:dyDescent="0.3">
      <c r="A36" s="42">
        <v>0.3</v>
      </c>
      <c r="B36" s="43">
        <f t="shared" si="1"/>
        <v>187507.726</v>
      </c>
      <c r="C36" s="43">
        <f t="shared" si="2"/>
        <v>80360.453999999998</v>
      </c>
      <c r="D36" s="5" t="str">
        <f t="shared" si="3"/>
        <v>High Impact</v>
      </c>
      <c r="E36" s="5"/>
    </row>
  </sheetData>
  <mergeCells count="21">
    <mergeCell ref="D36:E36"/>
    <mergeCell ref="D31:E31"/>
    <mergeCell ref="D32:E32"/>
    <mergeCell ref="D33:E33"/>
    <mergeCell ref="D34:E34"/>
    <mergeCell ref="D35:E35"/>
    <mergeCell ref="A27:E27"/>
    <mergeCell ref="D29:E29"/>
    <mergeCell ref="D30:E30"/>
    <mergeCell ref="C23:E23"/>
    <mergeCell ref="C24:E24"/>
    <mergeCell ref="C18:E18"/>
    <mergeCell ref="C19:E19"/>
    <mergeCell ref="C20:E20"/>
    <mergeCell ref="C21:E21"/>
    <mergeCell ref="C22:E22"/>
    <mergeCell ref="A1:E1"/>
    <mergeCell ref="A2:E2"/>
    <mergeCell ref="A4:E4"/>
    <mergeCell ref="A16:E16"/>
    <mergeCell ref="C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9"/>
  <sheetViews>
    <sheetView showGridLines="0" topLeftCell="A16" zoomScaleNormal="100" workbookViewId="0">
      <selection sqref="A1:F1"/>
    </sheetView>
  </sheetViews>
  <sheetFormatPr defaultColWidth="8.6640625" defaultRowHeight="14.4" x14ac:dyDescent="0.3"/>
  <cols>
    <col min="1" max="1" width="14" customWidth="1"/>
    <col min="2" max="2" width="20" customWidth="1"/>
    <col min="3" max="3" width="16" customWidth="1"/>
    <col min="4" max="5" width="14" customWidth="1"/>
    <col min="6" max="6" width="18" customWidth="1"/>
  </cols>
  <sheetData>
    <row r="1" spans="1:6" ht="31.5" customHeight="1" x14ac:dyDescent="0.3">
      <c r="A1" s="12" t="s">
        <v>62</v>
      </c>
      <c r="B1" s="12"/>
      <c r="C1" s="12"/>
      <c r="D1" s="12"/>
      <c r="E1" s="12"/>
      <c r="F1" s="12"/>
    </row>
    <row r="2" spans="1:6" ht="18" customHeight="1" x14ac:dyDescent="0.3">
      <c r="A2" s="11" t="s">
        <v>63</v>
      </c>
      <c r="B2" s="11"/>
      <c r="C2" s="11"/>
      <c r="D2" s="11"/>
      <c r="E2" s="11"/>
      <c r="F2" s="11"/>
    </row>
    <row r="4" spans="1:6" x14ac:dyDescent="0.3">
      <c r="A4" s="10" t="s">
        <v>64</v>
      </c>
      <c r="B4" s="10"/>
      <c r="C4" s="10"/>
      <c r="D4" s="10"/>
      <c r="E4" s="10"/>
      <c r="F4" s="10"/>
    </row>
    <row r="5" spans="1:6" x14ac:dyDescent="0.3">
      <c r="A5" s="9" t="s">
        <v>65</v>
      </c>
      <c r="B5" s="9"/>
      <c r="C5" s="9" t="s">
        <v>66</v>
      </c>
      <c r="D5" s="9"/>
      <c r="E5" s="9"/>
      <c r="F5" s="9"/>
    </row>
    <row r="6" spans="1:6" x14ac:dyDescent="0.3">
      <c r="A6" s="3" t="s">
        <v>67</v>
      </c>
      <c r="B6" s="3"/>
      <c r="C6" s="2" t="s">
        <v>68</v>
      </c>
      <c r="D6" s="2"/>
      <c r="E6" s="2"/>
      <c r="F6" s="2"/>
    </row>
    <row r="7" spans="1:6" x14ac:dyDescent="0.3">
      <c r="A7" s="1" t="s">
        <v>69</v>
      </c>
      <c r="B7" s="1"/>
      <c r="C7" s="60" t="s">
        <v>70</v>
      </c>
      <c r="D7" s="60"/>
      <c r="E7" s="60"/>
      <c r="F7" s="60"/>
    </row>
    <row r="8" spans="1:6" x14ac:dyDescent="0.3">
      <c r="A8" s="61" t="s">
        <v>71</v>
      </c>
      <c r="B8" s="61"/>
      <c r="C8" s="62" t="s">
        <v>72</v>
      </c>
      <c r="D8" s="62"/>
      <c r="E8" s="62"/>
      <c r="F8" s="62"/>
    </row>
    <row r="9" spans="1:6" x14ac:dyDescent="0.3">
      <c r="A9" s="5" t="s">
        <v>73</v>
      </c>
      <c r="B9" s="5"/>
      <c r="C9" s="63" t="s">
        <v>74</v>
      </c>
      <c r="D9" s="63"/>
      <c r="E9" s="63"/>
      <c r="F9" s="63"/>
    </row>
    <row r="11" spans="1:6" ht="21.75" customHeight="1" x14ac:dyDescent="0.3">
      <c r="A11" s="10" t="s">
        <v>75</v>
      </c>
      <c r="B11" s="10"/>
      <c r="C11" s="10"/>
      <c r="D11" s="10"/>
      <c r="E11" s="10"/>
      <c r="F11" s="10"/>
    </row>
    <row r="12" spans="1:6" ht="19.5" customHeight="1" x14ac:dyDescent="0.3">
      <c r="A12" s="16" t="s">
        <v>76</v>
      </c>
      <c r="B12" s="16" t="s">
        <v>77</v>
      </c>
      <c r="C12" s="16" t="s">
        <v>28</v>
      </c>
      <c r="D12" s="16" t="s">
        <v>65</v>
      </c>
      <c r="E12" s="16" t="s">
        <v>78</v>
      </c>
      <c r="F12" s="16" t="s">
        <v>42</v>
      </c>
    </row>
    <row r="13" spans="1:6" x14ac:dyDescent="0.3">
      <c r="A13" s="46" t="s">
        <v>79</v>
      </c>
      <c r="B13" s="18">
        <v>110277.3</v>
      </c>
      <c r="C13" s="20">
        <f t="shared" ref="C13:C24" si="0">RANK(B13,$B$13:$B$32,0)</f>
        <v>1</v>
      </c>
      <c r="D13" s="21" t="str">
        <f t="shared" ref="D13:D24" si="1">IF(B13&gt;20000,"Platinum",IF(B13&gt;10000,"Gold",IF(B13&gt;5000,"Silver","Bronze")))</f>
        <v>Platinum</v>
      </c>
      <c r="E13" s="47" t="str">
        <f t="shared" ref="E13:E24" si="2">TEXT(B13,"$#,##0")</f>
        <v>$1,10,277</v>
      </c>
      <c r="F13" s="48" t="s">
        <v>80</v>
      </c>
    </row>
    <row r="14" spans="1:6" x14ac:dyDescent="0.3">
      <c r="A14" s="31" t="s">
        <v>81</v>
      </c>
      <c r="B14" s="23">
        <v>104875.2</v>
      </c>
      <c r="C14" s="25">
        <f t="shared" si="0"/>
        <v>2</v>
      </c>
      <c r="D14" s="26" t="str">
        <f t="shared" si="1"/>
        <v>Platinum</v>
      </c>
      <c r="E14" s="49" t="str">
        <f t="shared" si="2"/>
        <v>$1,04,875</v>
      </c>
      <c r="F14" s="32" t="s">
        <v>80</v>
      </c>
    </row>
    <row r="15" spans="1:6" x14ac:dyDescent="0.3">
      <c r="A15" s="46" t="s">
        <v>82</v>
      </c>
      <c r="B15" s="18">
        <v>104362</v>
      </c>
      <c r="C15" s="20">
        <f t="shared" si="0"/>
        <v>3</v>
      </c>
      <c r="D15" s="21" t="str">
        <f t="shared" si="1"/>
        <v>Platinum</v>
      </c>
      <c r="E15" s="47" t="str">
        <f t="shared" si="2"/>
        <v>$1,04,362</v>
      </c>
      <c r="F15" s="48" t="s">
        <v>80</v>
      </c>
    </row>
    <row r="16" spans="1:6" x14ac:dyDescent="0.3">
      <c r="A16" s="31" t="s">
        <v>83</v>
      </c>
      <c r="B16" s="23">
        <v>51097.93</v>
      </c>
      <c r="C16" s="25">
        <f t="shared" si="0"/>
        <v>4</v>
      </c>
      <c r="D16" s="26" t="str">
        <f t="shared" si="1"/>
        <v>Platinum</v>
      </c>
      <c r="E16" s="49" t="str">
        <f t="shared" si="2"/>
        <v>$51,098</v>
      </c>
      <c r="F16" s="32" t="s">
        <v>80</v>
      </c>
    </row>
    <row r="17" spans="1:6" x14ac:dyDescent="0.3">
      <c r="A17" s="46" t="s">
        <v>84</v>
      </c>
      <c r="B17" s="18">
        <v>49979.9</v>
      </c>
      <c r="C17" s="20">
        <f t="shared" si="0"/>
        <v>5</v>
      </c>
      <c r="D17" s="21" t="str">
        <f t="shared" si="1"/>
        <v>Platinum</v>
      </c>
      <c r="E17" s="47" t="str">
        <f t="shared" si="2"/>
        <v>$49,980</v>
      </c>
      <c r="F17" s="48" t="s">
        <v>80</v>
      </c>
    </row>
    <row r="18" spans="1:6" x14ac:dyDescent="0.3">
      <c r="A18" s="31" t="s">
        <v>85</v>
      </c>
      <c r="B18" s="23">
        <v>30908.5</v>
      </c>
      <c r="C18" s="25">
        <f t="shared" si="0"/>
        <v>6</v>
      </c>
      <c r="D18" s="26" t="str">
        <f t="shared" si="1"/>
        <v>Platinum</v>
      </c>
      <c r="E18" s="49" t="str">
        <f t="shared" si="2"/>
        <v>$30,909</v>
      </c>
      <c r="F18" s="32" t="s">
        <v>80</v>
      </c>
    </row>
    <row r="19" spans="1:6" x14ac:dyDescent="0.3">
      <c r="A19" s="46" t="s">
        <v>86</v>
      </c>
      <c r="B19" s="18">
        <v>29567.45</v>
      </c>
      <c r="C19" s="20">
        <f t="shared" si="0"/>
        <v>7</v>
      </c>
      <c r="D19" s="21" t="str">
        <f t="shared" si="1"/>
        <v>Platinum</v>
      </c>
      <c r="E19" s="47" t="str">
        <f t="shared" si="2"/>
        <v>$29,567</v>
      </c>
      <c r="F19" s="48" t="s">
        <v>80</v>
      </c>
    </row>
    <row r="20" spans="1:6" x14ac:dyDescent="0.3">
      <c r="A20" s="31" t="s">
        <v>87</v>
      </c>
      <c r="B20" s="23">
        <v>26656.6</v>
      </c>
      <c r="C20" s="25">
        <f t="shared" si="0"/>
        <v>8</v>
      </c>
      <c r="D20" s="26" t="str">
        <f t="shared" si="1"/>
        <v>Platinum</v>
      </c>
      <c r="E20" s="49" t="str">
        <f t="shared" si="2"/>
        <v>$26,657</v>
      </c>
      <c r="F20" s="32" t="s">
        <v>80</v>
      </c>
    </row>
    <row r="21" spans="1:6" x14ac:dyDescent="0.3">
      <c r="A21" s="46" t="s">
        <v>88</v>
      </c>
      <c r="B21" s="18">
        <v>24927.599999999999</v>
      </c>
      <c r="C21" s="20">
        <f t="shared" si="0"/>
        <v>9</v>
      </c>
      <c r="D21" s="21" t="str">
        <f t="shared" si="1"/>
        <v>Platinum</v>
      </c>
      <c r="E21" s="47" t="str">
        <f t="shared" si="2"/>
        <v>$24,928</v>
      </c>
      <c r="F21" s="48" t="s">
        <v>80</v>
      </c>
    </row>
    <row r="22" spans="1:6" x14ac:dyDescent="0.3">
      <c r="A22" s="31" t="s">
        <v>89</v>
      </c>
      <c r="B22" s="23">
        <v>7023.95</v>
      </c>
      <c r="C22" s="25">
        <f t="shared" si="0"/>
        <v>10</v>
      </c>
      <c r="D22" s="26" t="str">
        <f t="shared" si="1"/>
        <v>Silver</v>
      </c>
      <c r="E22" s="49" t="str">
        <f t="shared" si="2"/>
        <v>$7,024</v>
      </c>
      <c r="F22" s="32"/>
    </row>
    <row r="23" spans="1:6" x14ac:dyDescent="0.3">
      <c r="A23" s="46" t="s">
        <v>90</v>
      </c>
      <c r="B23" s="18">
        <v>4273</v>
      </c>
      <c r="C23" s="20">
        <f t="shared" si="0"/>
        <v>11</v>
      </c>
      <c r="D23" s="21" t="str">
        <f t="shared" si="1"/>
        <v>Bronze</v>
      </c>
      <c r="E23" s="47" t="str">
        <f t="shared" si="2"/>
        <v>$4,273</v>
      </c>
      <c r="F23" s="48"/>
    </row>
    <row r="24" spans="1:6" x14ac:dyDescent="0.3">
      <c r="A24" s="31" t="s">
        <v>91</v>
      </c>
      <c r="B24" s="23">
        <v>1402.95</v>
      </c>
      <c r="C24" s="25">
        <f t="shared" si="0"/>
        <v>12</v>
      </c>
      <c r="D24" s="26" t="str">
        <f t="shared" si="1"/>
        <v>Bronze</v>
      </c>
      <c r="E24" s="49" t="str">
        <f t="shared" si="2"/>
        <v>$1,403</v>
      </c>
      <c r="F24" s="32"/>
    </row>
    <row r="25" spans="1:6" x14ac:dyDescent="0.3">
      <c r="A25" s="50"/>
      <c r="B25" s="50"/>
      <c r="C25" s="50"/>
      <c r="D25" s="50"/>
      <c r="E25" s="50"/>
      <c r="F25" s="50"/>
    </row>
    <row r="26" spans="1:6" x14ac:dyDescent="0.3">
      <c r="A26" s="50"/>
      <c r="B26" s="50"/>
      <c r="C26" s="50"/>
      <c r="D26" s="50"/>
      <c r="E26" s="50"/>
      <c r="F26" s="50"/>
    </row>
    <row r="27" spans="1:6" x14ac:dyDescent="0.3">
      <c r="A27" s="50"/>
      <c r="B27" s="50"/>
      <c r="C27" s="50"/>
      <c r="D27" s="50"/>
      <c r="E27" s="50"/>
      <c r="F27" s="50"/>
    </row>
    <row r="28" spans="1:6" x14ac:dyDescent="0.3">
      <c r="A28" s="50"/>
      <c r="B28" s="50"/>
      <c r="C28" s="50"/>
      <c r="D28" s="50"/>
      <c r="E28" s="50"/>
      <c r="F28" s="50"/>
    </row>
    <row r="29" spans="1:6" x14ac:dyDescent="0.3">
      <c r="A29" s="50"/>
      <c r="B29" s="50"/>
      <c r="C29" s="50"/>
      <c r="D29" s="50"/>
      <c r="E29" s="50"/>
      <c r="F29" s="50"/>
    </row>
    <row r="30" spans="1:6" x14ac:dyDescent="0.3">
      <c r="A30" s="50"/>
      <c r="B30" s="50"/>
      <c r="C30" s="50"/>
      <c r="D30" s="50"/>
      <c r="E30" s="50"/>
      <c r="F30" s="50"/>
    </row>
    <row r="31" spans="1:6" x14ac:dyDescent="0.3">
      <c r="A31" s="50"/>
      <c r="B31" s="50"/>
      <c r="C31" s="50"/>
      <c r="D31" s="50"/>
      <c r="E31" s="50"/>
      <c r="F31" s="50"/>
    </row>
    <row r="32" spans="1:6" x14ac:dyDescent="0.3">
      <c r="A32" s="50"/>
      <c r="B32" s="50"/>
      <c r="C32" s="50"/>
      <c r="D32" s="50"/>
      <c r="E32" s="50"/>
      <c r="F32" s="50"/>
    </row>
    <row r="34" spans="1:6" x14ac:dyDescent="0.3">
      <c r="A34" s="10" t="s">
        <v>92</v>
      </c>
      <c r="B34" s="10"/>
      <c r="C34" s="10"/>
      <c r="D34" s="10"/>
      <c r="E34" s="10"/>
      <c r="F34" s="10"/>
    </row>
    <row r="35" spans="1:6" x14ac:dyDescent="0.3">
      <c r="A35" s="16" t="s">
        <v>65</v>
      </c>
      <c r="B35" s="16" t="s">
        <v>93</v>
      </c>
      <c r="C35" s="16" t="s">
        <v>77</v>
      </c>
      <c r="D35" s="16" t="s">
        <v>94</v>
      </c>
      <c r="E35" s="16" t="s">
        <v>27</v>
      </c>
      <c r="F35" s="16"/>
    </row>
    <row r="36" spans="1:6" x14ac:dyDescent="0.3">
      <c r="A36" s="51" t="s">
        <v>67</v>
      </c>
      <c r="B36" s="20">
        <f>COUNTIF($D$13:$D$32,A36)</f>
        <v>9</v>
      </c>
      <c r="C36" s="43">
        <f>SUMIF($D$13:$D$32,A36,$B$13:$B$32)</f>
        <v>532652.48</v>
      </c>
      <c r="D36" s="43">
        <f>IFERROR(C36/B36,0)</f>
        <v>59183.608888888884</v>
      </c>
      <c r="E36" s="19">
        <f>IFERROR(C36/SUM($C$36:$C$39),0)</f>
        <v>0.97671248817140965</v>
      </c>
      <c r="F36" s="50"/>
    </row>
    <row r="37" spans="1:6" x14ac:dyDescent="0.3">
      <c r="A37" s="52" t="s">
        <v>69</v>
      </c>
      <c r="B37" s="25">
        <f>COUNTIF($D$13:$D$32,A37)</f>
        <v>0</v>
      </c>
      <c r="C37" s="45">
        <f>SUMIF($D$13:$D$32,A37,$B$13:$B$32)</f>
        <v>0</v>
      </c>
      <c r="D37" s="45">
        <f>IFERROR(C37/B37,0)</f>
        <v>0</v>
      </c>
      <c r="E37" s="24">
        <f>IFERROR(C37/SUM($C$36:$C$39),0)</f>
        <v>0</v>
      </c>
      <c r="F37" s="50"/>
    </row>
    <row r="38" spans="1:6" x14ac:dyDescent="0.3">
      <c r="A38" s="51" t="s">
        <v>71</v>
      </c>
      <c r="B38" s="20">
        <f>COUNTIF($D$13:$D$32,A38)</f>
        <v>1</v>
      </c>
      <c r="C38" s="43">
        <f>SUMIF($D$13:$D$32,A38,$B$13:$B$32)</f>
        <v>7023.95</v>
      </c>
      <c r="D38" s="43">
        <f>IFERROR(C38/B38,0)</f>
        <v>7023.95</v>
      </c>
      <c r="E38" s="19">
        <f>IFERROR(C38/SUM($C$36:$C$39),0)</f>
        <v>1.2879654068805936E-2</v>
      </c>
      <c r="F38" s="50"/>
    </row>
    <row r="39" spans="1:6" x14ac:dyDescent="0.3">
      <c r="A39" s="52" t="s">
        <v>73</v>
      </c>
      <c r="B39" s="25">
        <f>COUNTIF($D$13:$D$32,A39)</f>
        <v>2</v>
      </c>
      <c r="C39" s="45">
        <f>SUMIF($D$13:$D$32,A39,$B$13:$B$32)</f>
        <v>5675.95</v>
      </c>
      <c r="D39" s="45">
        <f>IFERROR(C39/B39,0)</f>
        <v>2837.9749999999999</v>
      </c>
      <c r="E39" s="24">
        <f>IFERROR(C39/SUM($C$36:$C$39),0)</f>
        <v>1.0407857759784603E-2</v>
      </c>
      <c r="F39" s="50"/>
    </row>
  </sheetData>
  <mergeCells count="15">
    <mergeCell ref="A9:B9"/>
    <mergeCell ref="C9:F9"/>
    <mergeCell ref="A11:F11"/>
    <mergeCell ref="A34:F34"/>
    <mergeCell ref="A6:B6"/>
    <mergeCell ref="C6:F6"/>
    <mergeCell ref="A7:B7"/>
    <mergeCell ref="C7:F7"/>
    <mergeCell ref="A8:B8"/>
    <mergeCell ref="C8:F8"/>
    <mergeCell ref="A1:F1"/>
    <mergeCell ref="A2:F2"/>
    <mergeCell ref="A4:F4"/>
    <mergeCell ref="A5:B5"/>
    <mergeCell ref="C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showGridLines="0" tabSelected="1" zoomScaleNormal="100" workbookViewId="0">
      <selection activeCell="B5" sqref="B5"/>
    </sheetView>
  </sheetViews>
  <sheetFormatPr defaultColWidth="8.6640625" defaultRowHeight="14.4" x14ac:dyDescent="0.3"/>
  <cols>
    <col min="1" max="1" width="22" customWidth="1"/>
    <col min="2" max="2" width="16" customWidth="1"/>
    <col min="3" max="3" width="18" customWidth="1"/>
    <col min="4" max="4" width="16" customWidth="1"/>
    <col min="5" max="5" width="22" customWidth="1"/>
  </cols>
  <sheetData>
    <row r="1" spans="1:5" ht="31.5" customHeight="1" x14ac:dyDescent="0.3">
      <c r="A1" s="12" t="s">
        <v>95</v>
      </c>
      <c r="B1" s="12"/>
      <c r="C1" s="12"/>
      <c r="D1" s="12"/>
      <c r="E1" s="12"/>
    </row>
    <row r="2" spans="1:5" ht="18" customHeight="1" x14ac:dyDescent="0.3">
      <c r="A2" s="11" t="s">
        <v>96</v>
      </c>
      <c r="B2" s="11"/>
      <c r="C2" s="11"/>
      <c r="D2" s="11"/>
      <c r="E2" s="11"/>
    </row>
    <row r="4" spans="1:5" x14ac:dyDescent="0.3">
      <c r="A4" s="6" t="s">
        <v>97</v>
      </c>
      <c r="B4" s="6"/>
      <c r="C4" s="6"/>
      <c r="D4" s="6"/>
      <c r="E4" s="6"/>
    </row>
    <row r="5" spans="1:5" x14ac:dyDescent="0.3">
      <c r="A5" s="53" t="s">
        <v>98</v>
      </c>
      <c r="B5" s="54">
        <v>30</v>
      </c>
      <c r="C5" s="55" t="s">
        <v>99</v>
      </c>
      <c r="D5" s="50"/>
      <c r="E5" s="50"/>
    </row>
    <row r="7" spans="1:5" ht="21.75" customHeight="1" x14ac:dyDescent="0.3">
      <c r="A7" s="10" t="s">
        <v>100</v>
      </c>
      <c r="B7" s="10"/>
      <c r="C7" s="10"/>
      <c r="D7" s="10"/>
      <c r="E7" s="10"/>
    </row>
    <row r="8" spans="1:5" ht="19.5" customHeight="1" x14ac:dyDescent="0.3">
      <c r="A8" s="16" t="s">
        <v>101</v>
      </c>
      <c r="B8" s="16" t="s">
        <v>102</v>
      </c>
      <c r="C8" s="16" t="s">
        <v>103</v>
      </c>
      <c r="D8" s="16" t="s">
        <v>104</v>
      </c>
      <c r="E8" s="16" t="s">
        <v>105</v>
      </c>
    </row>
    <row r="9" spans="1:5" x14ac:dyDescent="0.3">
      <c r="A9" s="46" t="s">
        <v>106</v>
      </c>
      <c r="B9" s="56">
        <v>12</v>
      </c>
      <c r="C9" s="18">
        <v>20.87</v>
      </c>
      <c r="D9" s="57">
        <f t="shared" ref="D9:D24" si="0">C9-$B$5</f>
        <v>-9.129999999999999</v>
      </c>
      <c r="E9" s="21" t="str">
        <f t="shared" ref="E9:E24" si="1">IF(C9&gt;$B$5,"⚠ Above Threshold","✓ Within Threshold")</f>
        <v>✓ Within Threshold</v>
      </c>
    </row>
    <row r="10" spans="1:5" x14ac:dyDescent="0.3">
      <c r="A10" s="31" t="s">
        <v>107</v>
      </c>
      <c r="B10" s="58">
        <v>9</v>
      </c>
      <c r="C10" s="23">
        <v>37.6</v>
      </c>
      <c r="D10" s="59">
        <f t="shared" si="0"/>
        <v>7.6000000000000014</v>
      </c>
      <c r="E10" s="26" t="str">
        <f t="shared" si="1"/>
        <v>⚠ Above Threshold</v>
      </c>
    </row>
    <row r="11" spans="1:5" x14ac:dyDescent="0.3">
      <c r="A11" s="46" t="s">
        <v>108</v>
      </c>
      <c r="B11" s="56">
        <v>8</v>
      </c>
      <c r="C11" s="18">
        <v>33.83</v>
      </c>
      <c r="D11" s="57">
        <f t="shared" si="0"/>
        <v>3.8299999999999983</v>
      </c>
      <c r="E11" s="21" t="str">
        <f t="shared" si="1"/>
        <v>⚠ Above Threshold</v>
      </c>
    </row>
    <row r="12" spans="1:5" x14ac:dyDescent="0.3">
      <c r="A12" s="31" t="s">
        <v>109</v>
      </c>
      <c r="B12" s="58">
        <v>7</v>
      </c>
      <c r="C12" s="23">
        <v>22.81</v>
      </c>
      <c r="D12" s="59">
        <f t="shared" si="0"/>
        <v>-7.1900000000000013</v>
      </c>
      <c r="E12" s="26" t="str">
        <f t="shared" si="1"/>
        <v>✓ Within Threshold</v>
      </c>
    </row>
    <row r="13" spans="1:5" x14ac:dyDescent="0.3">
      <c r="A13" s="46" t="s">
        <v>110</v>
      </c>
      <c r="B13" s="56">
        <v>6</v>
      </c>
      <c r="C13" s="18">
        <v>30.46</v>
      </c>
      <c r="D13" s="57">
        <f t="shared" si="0"/>
        <v>0.46000000000000085</v>
      </c>
      <c r="E13" s="21" t="str">
        <f t="shared" si="1"/>
        <v>⚠ Above Threshold</v>
      </c>
    </row>
    <row r="14" spans="1:5" x14ac:dyDescent="0.3">
      <c r="A14" s="31" t="s">
        <v>111</v>
      </c>
      <c r="B14" s="58">
        <v>5</v>
      </c>
      <c r="C14" s="23">
        <v>27.36</v>
      </c>
      <c r="D14" s="59">
        <f t="shared" si="0"/>
        <v>-2.6400000000000006</v>
      </c>
      <c r="E14" s="26" t="str">
        <f t="shared" si="1"/>
        <v>✓ Within Threshold</v>
      </c>
    </row>
    <row r="15" spans="1:5" x14ac:dyDescent="0.3">
      <c r="A15" s="46" t="s">
        <v>112</v>
      </c>
      <c r="B15" s="56">
        <v>5</v>
      </c>
      <c r="C15" s="18">
        <v>76.75</v>
      </c>
      <c r="D15" s="57">
        <f t="shared" si="0"/>
        <v>46.75</v>
      </c>
      <c r="E15" s="21" t="str">
        <f t="shared" si="1"/>
        <v>⚠ Above Threshold</v>
      </c>
    </row>
    <row r="16" spans="1:5" x14ac:dyDescent="0.3">
      <c r="A16" s="31" t="s">
        <v>113</v>
      </c>
      <c r="B16" s="58">
        <v>4</v>
      </c>
      <c r="C16" s="23">
        <v>27.31</v>
      </c>
      <c r="D16" s="59">
        <f t="shared" si="0"/>
        <v>-2.6900000000000013</v>
      </c>
      <c r="E16" s="26" t="str">
        <f t="shared" si="1"/>
        <v>✓ Within Threshold</v>
      </c>
    </row>
    <row r="17" spans="1:5" x14ac:dyDescent="0.3">
      <c r="A17" s="46" t="s">
        <v>114</v>
      </c>
      <c r="B17" s="56">
        <v>3</v>
      </c>
      <c r="C17" s="18">
        <v>20</v>
      </c>
      <c r="D17" s="57">
        <f t="shared" si="0"/>
        <v>-10</v>
      </c>
      <c r="E17" s="21" t="str">
        <f t="shared" si="1"/>
        <v>✓ Within Threshold</v>
      </c>
    </row>
    <row r="18" spans="1:5" x14ac:dyDescent="0.3">
      <c r="A18" s="31" t="s">
        <v>115</v>
      </c>
      <c r="B18" s="58">
        <v>3</v>
      </c>
      <c r="C18" s="23">
        <v>20</v>
      </c>
      <c r="D18" s="59">
        <f t="shared" si="0"/>
        <v>-10</v>
      </c>
      <c r="E18" s="26" t="str">
        <f t="shared" si="1"/>
        <v>✓ Within Threshold</v>
      </c>
    </row>
    <row r="19" spans="1:5" x14ac:dyDescent="0.3">
      <c r="A19" s="46" t="s">
        <v>116</v>
      </c>
      <c r="B19" s="56">
        <v>3</v>
      </c>
      <c r="C19" s="18">
        <v>26.48</v>
      </c>
      <c r="D19" s="57">
        <f t="shared" si="0"/>
        <v>-3.5199999999999996</v>
      </c>
      <c r="E19" s="21" t="str">
        <f t="shared" si="1"/>
        <v>✓ Within Threshold</v>
      </c>
    </row>
    <row r="20" spans="1:5" x14ac:dyDescent="0.3">
      <c r="A20" s="31" t="s">
        <v>117</v>
      </c>
      <c r="B20" s="58">
        <v>3</v>
      </c>
      <c r="C20" s="23">
        <v>18.079999999999998</v>
      </c>
      <c r="D20" s="59">
        <f t="shared" si="0"/>
        <v>-11.920000000000002</v>
      </c>
      <c r="E20" s="26" t="str">
        <f t="shared" si="1"/>
        <v>✓ Within Threshold</v>
      </c>
    </row>
    <row r="21" spans="1:5" x14ac:dyDescent="0.3">
      <c r="A21" s="46" t="s">
        <v>118</v>
      </c>
      <c r="B21" s="56">
        <v>2</v>
      </c>
      <c r="C21" s="18">
        <v>29.5</v>
      </c>
      <c r="D21" s="57">
        <f t="shared" si="0"/>
        <v>-0.5</v>
      </c>
      <c r="E21" s="21" t="str">
        <f t="shared" si="1"/>
        <v>✓ Within Threshold</v>
      </c>
    </row>
    <row r="22" spans="1:5" x14ac:dyDescent="0.3">
      <c r="A22" s="31" t="s">
        <v>119</v>
      </c>
      <c r="B22" s="58">
        <v>2</v>
      </c>
      <c r="C22" s="23">
        <v>10.75</v>
      </c>
      <c r="D22" s="59">
        <f t="shared" si="0"/>
        <v>-19.25</v>
      </c>
      <c r="E22" s="26" t="str">
        <f t="shared" si="1"/>
        <v>✓ Within Threshold</v>
      </c>
    </row>
    <row r="23" spans="1:5" x14ac:dyDescent="0.3">
      <c r="A23" s="46" t="s">
        <v>120</v>
      </c>
      <c r="B23" s="56">
        <v>2</v>
      </c>
      <c r="C23" s="18">
        <v>11.12</v>
      </c>
      <c r="D23" s="57">
        <f t="shared" si="0"/>
        <v>-18.880000000000003</v>
      </c>
      <c r="E23" s="21" t="str">
        <f t="shared" si="1"/>
        <v>✓ Within Threshold</v>
      </c>
    </row>
    <row r="24" spans="1:5" x14ac:dyDescent="0.3">
      <c r="A24" s="31" t="s">
        <v>121</v>
      </c>
      <c r="B24" s="58">
        <v>1</v>
      </c>
      <c r="C24" s="23">
        <v>4.5</v>
      </c>
      <c r="D24" s="59">
        <f t="shared" si="0"/>
        <v>-25.5</v>
      </c>
      <c r="E24" s="26" t="str">
        <f t="shared" si="1"/>
        <v>✓ Within Threshold</v>
      </c>
    </row>
    <row r="26" spans="1:5" x14ac:dyDescent="0.3">
      <c r="A26" s="6" t="s">
        <v>122</v>
      </c>
      <c r="B26" s="6"/>
      <c r="C26" s="6"/>
      <c r="D26" s="6"/>
      <c r="E26" s="6"/>
    </row>
    <row r="27" spans="1:5" x14ac:dyDescent="0.3">
      <c r="A27" s="46" t="s">
        <v>123</v>
      </c>
      <c r="B27" s="64">
        <f>COUNTA(A9:A24)</f>
        <v>16</v>
      </c>
      <c r="C27" s="64"/>
      <c r="D27" s="50"/>
      <c r="E27" s="50"/>
    </row>
    <row r="28" spans="1:5" x14ac:dyDescent="0.3">
      <c r="A28" s="31" t="s">
        <v>124</v>
      </c>
      <c r="B28" s="65">
        <f>SUM(B9:B24)</f>
        <v>75</v>
      </c>
      <c r="C28" s="65"/>
      <c r="D28" s="50"/>
      <c r="E28" s="50"/>
    </row>
    <row r="29" spans="1:5" x14ac:dyDescent="0.3">
      <c r="A29" s="46" t="s">
        <v>125</v>
      </c>
      <c r="B29" s="66">
        <f>AVERAGE(C9:C24)</f>
        <v>26.088750000000001</v>
      </c>
      <c r="C29" s="66"/>
      <c r="D29" s="50"/>
      <c r="E29" s="50"/>
    </row>
    <row r="30" spans="1:5" x14ac:dyDescent="0.3">
      <c r="A30" s="31" t="s">
        <v>126</v>
      </c>
      <c r="B30" s="67">
        <f>MAX(C9:C24)</f>
        <v>76.75</v>
      </c>
      <c r="C30" s="67"/>
      <c r="D30" s="50"/>
      <c r="E30" s="50"/>
    </row>
    <row r="31" spans="1:5" x14ac:dyDescent="0.3">
      <c r="A31" s="46" t="s">
        <v>127</v>
      </c>
      <c r="B31" s="66">
        <f>MIN(C9:C24)</f>
        <v>4.5</v>
      </c>
      <c r="C31" s="66"/>
      <c r="D31" s="50"/>
      <c r="E31" s="50"/>
    </row>
    <row r="32" spans="1:5" x14ac:dyDescent="0.3">
      <c r="A32" s="31" t="s">
        <v>128</v>
      </c>
      <c r="B32" s="65">
        <f>COUNTIF(E9:E24,"⚠ Above Threshold")</f>
        <v>4</v>
      </c>
      <c r="C32" s="65"/>
      <c r="D32" s="50"/>
      <c r="E32" s="50"/>
    </row>
  </sheetData>
  <mergeCells count="11">
    <mergeCell ref="B32:C32"/>
    <mergeCell ref="B27:C27"/>
    <mergeCell ref="B28:C28"/>
    <mergeCell ref="B29:C29"/>
    <mergeCell ref="B30:C30"/>
    <mergeCell ref="B31:C31"/>
    <mergeCell ref="A1:E1"/>
    <mergeCell ref="A2:E2"/>
    <mergeCell ref="A4:E4"/>
    <mergeCell ref="A7:E7"/>
    <mergeCell ref="A26:E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Revenue Scenario Model</vt:lpstr>
      <vt:lpstr>Customer Segmentation</vt:lpstr>
      <vt:lpstr>Supplier Pricing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Samarpit Trivedi</cp:lastModifiedBy>
  <cp:revision>0</cp:revision>
  <dcterms:created xsi:type="dcterms:W3CDTF">2026-05-19T07:13:25Z</dcterms:created>
  <dcterms:modified xsi:type="dcterms:W3CDTF">2026-05-19T07:26:37Z</dcterms:modified>
  <dc:language>en-US</dc:language>
</cp:coreProperties>
</file>